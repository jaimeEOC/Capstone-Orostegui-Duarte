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_ML">'RELEVANCIA-PUNTAJE'!$D$5</definedName>
    <definedName name="MR_NL">'RELEVANCIA-PUNTAJE'!$E$3</definedName>
    <definedName name="TL">'RELEVANCIA-PUNTAJE'!$B$2</definedName>
    <definedName name="PR_NL">'RELEVANCIA-PUNTAJE'!$E$5</definedName>
    <definedName name="RE">'RELEVANCIA-PUNTAJE'!$A$4</definedName>
    <definedName name="RE_NL">'RELEVANCIA-PUNTAJE'!$E$4</definedName>
    <definedName name="CL">'RELEVANCIA-PUNTAJE'!$B$2</definedName>
    <definedName name="PR">'RELEVANCIA-PUNTAJE'!$A$5</definedName>
    <definedName name="ML">'RELEVANCIA-PUNTAJE'!$D$2</definedName>
    <definedName name="MR_ML">'RELEVANCIA-PUNTAJE'!$D$3</definedName>
    <definedName name="MR_L">'RELEVANCIA-PUNTAJE'!$C$3</definedName>
    <definedName name="PR_TL">'RELEVANCIA-PUNTAJE'!$B$5</definedName>
    <definedName name="MR">'RELEVANCIA-PUNTAJE'!$A$3</definedName>
    <definedName name="NL">'RELEVANCIA-PUNTAJE'!$E$2</definedName>
    <definedName name="MR_CL">'RELEVANCIA-PUNTAJE'!$B$3</definedName>
    <definedName name="RE_ML">'RELEVANCIA-PUNTAJE'!$D$4</definedName>
    <definedName name="L">'RELEVANCIA-PUNTAJE'!$C$2</definedName>
    <definedName name="MR_TL">'RELEVANCIA-PUNTAJE'!$B$3</definedName>
    <definedName name="RE_TL">'RELEVANCIA-PUNTAJE'!$B$4</definedName>
  </definedNames>
  <calcPr/>
  <extLst>
    <ext uri="GoogleSheetsCustomDataVersion2">
      <go:sheetsCustomData xmlns:go="http://customooxmlschemas.google.com/" r:id="rId10" roundtripDataChecksum="a0eTKwdna4DRKF3d1BD8WUfcX8rXbgvEkmH15Z7FDps="/>
    </ext>
  </extLst>
</workbook>
</file>

<file path=xl/sharedStrings.xml><?xml version="1.0" encoding="utf-8"?>
<sst xmlns="http://schemas.openxmlformats.org/spreadsheetml/2006/main" count="83" uniqueCount="65">
  <si>
    <t>INTEGRANTES</t>
  </si>
  <si>
    <t>GRUPAL</t>
  </si>
  <si>
    <t>Jazmín Duarte</t>
  </si>
  <si>
    <t>Jaime Oróstegui</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</si>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</sst>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scheme val="minor"/>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ont="1">
      <alignment horizontal="center" shrinkToFit="0" vertical="center" wrapText="1"/>
    </xf>
    <xf borderId="0" fillId="0" fontId="1" numFmtId="0" xfId="0" applyAlignment="1" applyFont="1">
      <alignment horizontal="right" vertical="center"/>
    </xf>
    <xf borderId="2" fillId="0" fontId="1" numFmtId="0" xfId="0" applyAlignment="1" applyBorder="1" applyFont="1">
      <alignment horizontal="left" readingOrder="0"/>
    </xf>
    <xf borderId="1" fillId="2" fontId="1" numFmtId="164" xfId="0" applyAlignment="1" applyBorder="1" applyFont="1" applyNumberFormat="1">
      <alignment horizontal="center"/>
    </xf>
    <xf borderId="0" fillId="0" fontId="1" numFmtId="164" xfId="0" applyFont="1" applyNumberFormat="1"/>
    <xf borderId="2" fillId="0" fontId="1" numFmtId="0" xfId="0" applyAlignment="1" applyBorder="1" applyFont="1">
      <alignment horizontal="left"/>
    </xf>
    <xf borderId="3" fillId="3" fontId="3" numFmtId="0" xfId="0" applyAlignment="1" applyBorder="1" applyFill="1" applyFont="1">
      <alignment horizontal="center" textRotation="255" vertical="center"/>
    </xf>
    <xf borderId="1" fillId="4" fontId="4" numFmtId="0" xfId="0" applyAlignment="1" applyBorder="1" applyFill="1" applyFont="1">
      <alignment horizontal="center" vertical="center"/>
    </xf>
    <xf borderId="3" fillId="4" fontId="5" numFmtId="0" xfId="0" applyAlignment="1" applyBorder="1" applyFont="1">
      <alignment horizontal="center" vertical="center"/>
    </xf>
    <xf borderId="2" fillId="4" fontId="5" numFmtId="0" xfId="0" applyAlignment="1" applyBorder="1" applyFont="1">
      <alignment horizontal="center" vertical="center"/>
    </xf>
    <xf borderId="4" fillId="0" fontId="6" numFmtId="0" xfId="0" applyBorder="1" applyFont="1"/>
    <xf borderId="5" fillId="0" fontId="6" numFmtId="0" xfId="0" applyBorder="1" applyFont="1"/>
    <xf borderId="6" fillId="0" fontId="6" numFmtId="0" xfId="0" applyBorder="1" applyFont="1"/>
    <xf borderId="7" fillId="4" fontId="5" numFmtId="0" xfId="0" applyAlignment="1" applyBorder="1" applyFont="1">
      <alignment horizontal="center" vertical="center"/>
    </xf>
    <xf borderId="8" fillId="0" fontId="6" numFmtId="0" xfId="0" applyBorder="1" applyFont="1"/>
    <xf borderId="1" fillId="0" fontId="7" numFmtId="0" xfId="0" applyAlignment="1" applyBorder="1" applyFont="1">
      <alignment horizontal="left" shrinkToFit="0" vertical="center" wrapText="1"/>
    </xf>
    <xf borderId="5" fillId="0" fontId="8" numFmtId="0" xfId="0" applyAlignment="1" applyBorder="1" applyFont="1">
      <alignment horizontal="left" vertical="center"/>
    </xf>
    <xf borderId="1" fillId="0" fontId="8" numFmtId="0" xfId="0" applyAlignment="1" applyBorder="1" applyFont="1">
      <alignment horizontal="center" vertical="center"/>
    </xf>
    <xf borderId="8" fillId="0" fontId="7" numFmtId="0" xfId="0" applyAlignment="1" applyBorder="1" applyFont="1">
      <alignment horizontal="right" shrinkToFit="0" vertical="center" wrapText="1"/>
    </xf>
    <xf borderId="3" fillId="0" fontId="9" numFmtId="0" xfId="0" applyBorder="1" applyFont="1"/>
    <xf borderId="1" fillId="5" fontId="1" numFmtId="0" xfId="0" applyBorder="1" applyFill="1" applyFont="1"/>
    <xf borderId="2" fillId="0" fontId="7" numFmtId="0" xfId="0" applyAlignment="1" applyBorder="1" applyFont="1">
      <alignment horizontal="right" shrinkToFit="0" vertical="center" wrapText="1"/>
    </xf>
    <xf borderId="1" fillId="0" fontId="9" numFmtId="164" xfId="0" applyBorder="1" applyFont="1" applyNumberFormat="1"/>
    <xf borderId="0" fillId="0" fontId="10" numFmtId="0" xfId="0" applyFont="1"/>
    <xf borderId="0" fillId="0" fontId="1" numFmtId="0" xfId="0" applyAlignment="1" applyFont="1">
      <alignment shrinkToFit="0" wrapText="1"/>
    </xf>
    <xf borderId="0" fillId="0" fontId="7" numFmtId="0" xfId="0" applyAlignment="1" applyFont="1">
      <alignment horizontal="right" shrinkToFit="0" vertical="center" wrapText="1"/>
    </xf>
    <xf borderId="0" fillId="0" fontId="9" numFmtId="164" xfId="0" applyFont="1" applyNumberFormat="1"/>
    <xf borderId="0" fillId="0" fontId="7" numFmtId="0" xfId="0" applyAlignment="1" applyFont="1">
      <alignment horizontal="left" shrinkToFit="0" vertical="center" wrapText="1"/>
    </xf>
    <xf borderId="9" fillId="6" fontId="11" numFmtId="0" xfId="0" applyAlignment="1" applyBorder="1" applyFill="1" applyFont="1">
      <alignment horizontal="center" shrinkToFit="0" vertical="center" wrapText="1"/>
    </xf>
    <xf borderId="10" fillId="6" fontId="11" numFmtId="0" xfId="0" applyAlignment="1" applyBorder="1" applyFont="1">
      <alignment horizontal="center" shrinkToFit="0" vertical="center" wrapText="1"/>
    </xf>
    <xf borderId="11" fillId="0" fontId="6" numFmtId="0" xfId="0" applyBorder="1" applyFont="1"/>
    <xf borderId="12" fillId="0" fontId="6" numFmtId="0" xfId="0" applyBorder="1" applyFont="1"/>
    <xf borderId="13" fillId="0" fontId="6" numFmtId="0" xfId="0" applyBorder="1" applyFont="1"/>
    <xf borderId="9" fillId="6" fontId="12" numFmtId="0" xfId="0" applyAlignment="1" applyBorder="1" applyFont="1">
      <alignment horizontal="center" shrinkToFit="0" vertical="center" wrapText="1"/>
    </xf>
    <xf borderId="14" fillId="6" fontId="12" numFmtId="0" xfId="0" applyAlignment="1" applyBorder="1" applyFont="1">
      <alignment horizontal="center" shrinkToFit="0" vertical="center" wrapText="1"/>
    </xf>
    <xf borderId="14" fillId="6" fontId="11" numFmtId="0" xfId="0" applyAlignment="1" applyBorder="1" applyFont="1">
      <alignment horizontal="center" shrinkToFit="0" vertical="center" wrapText="1"/>
    </xf>
    <xf borderId="15" fillId="0" fontId="6" numFmtId="0" xfId="0" applyBorder="1" applyFont="1"/>
    <xf borderId="14" fillId="6" fontId="11" numFmtId="9" xfId="0" applyAlignment="1" applyBorder="1" applyFont="1" applyNumberFormat="1">
      <alignment horizontal="center" shrinkToFit="0" vertical="center" wrapText="1"/>
    </xf>
    <xf borderId="16" fillId="0" fontId="6" numFmtId="0" xfId="0" applyBorder="1" applyFont="1"/>
    <xf borderId="1" fillId="0" fontId="8" numFmtId="0" xfId="0" applyAlignment="1" applyBorder="1" applyFont="1">
      <alignment horizontal="left" shrinkToFit="0" vertical="center" wrapText="1"/>
    </xf>
    <xf borderId="17" fillId="0" fontId="13" numFmtId="0" xfId="0" applyAlignment="1" applyBorder="1" applyFont="1">
      <alignment horizontal="center" shrinkToFit="0" vertical="center" wrapText="1"/>
    </xf>
    <xf borderId="18" fillId="0" fontId="13"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7" fillId="0" fontId="5" numFmtId="0" xfId="0" applyAlignment="1" applyBorder="1" applyFont="1">
      <alignment horizontal="center" shrinkToFit="0" vertical="center" wrapText="1"/>
    </xf>
    <xf borderId="18" fillId="0" fontId="5" numFmtId="0" xfId="0" applyAlignment="1" applyBorder="1" applyFont="1">
      <alignment horizontal="center" shrinkToFit="0" vertical="center" wrapText="1"/>
    </xf>
    <xf borderId="19" fillId="4" fontId="2" numFmtId="0" xfId="0" applyAlignment="1" applyBorder="1" applyFont="1">
      <alignment horizontal="left" shrinkToFit="0" vertical="center" wrapText="1"/>
    </xf>
    <xf borderId="20" fillId="4" fontId="2" numFmtId="0" xfId="0" applyAlignment="1" applyBorder="1" applyFont="1">
      <alignment shrinkToFit="0" vertical="center" wrapText="1"/>
    </xf>
    <xf borderId="21" fillId="4" fontId="2" numFmtId="0" xfId="0" applyAlignment="1" applyBorder="1" applyFont="1">
      <alignment shrinkToFit="0" vertical="center" wrapText="1"/>
    </xf>
    <xf borderId="22" fillId="4" fontId="2" numFmtId="0" xfId="0" applyAlignment="1" applyBorder="1" applyFont="1">
      <alignment shrinkToFit="0" vertical="center" wrapText="1"/>
    </xf>
    <xf borderId="23" fillId="0" fontId="6" numFmtId="0" xfId="0" applyBorder="1" applyFont="1"/>
    <xf borderId="24" fillId="4" fontId="2" numFmtId="0" xfId="0" applyAlignment="1" applyBorder="1" applyFont="1">
      <alignment shrinkToFit="0" vertical="center" wrapText="1"/>
    </xf>
    <xf borderId="25" fillId="4" fontId="2" numFmtId="0" xfId="0" applyAlignment="1" applyBorder="1" applyFont="1">
      <alignment shrinkToFit="0" vertical="center" wrapText="1"/>
    </xf>
    <xf borderId="26" fillId="4" fontId="2" numFmtId="0" xfId="0" applyAlignment="1" applyBorder="1" applyFont="1">
      <alignment shrinkToFit="0" vertical="center" wrapText="1"/>
    </xf>
    <xf borderId="23" fillId="0" fontId="2" numFmtId="0" xfId="0" applyAlignment="1" applyBorder="1" applyFont="1">
      <alignment horizontal="left" shrinkToFit="0" vertical="center" wrapText="1"/>
    </xf>
    <xf borderId="27"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7</v>
      </c>
      <c r="G4" s="7"/>
    </row>
    <row r="5">
      <c r="A5" s="4">
        <v>2.0</v>
      </c>
      <c r="B5" s="5" t="s">
        <v>3</v>
      </c>
      <c r="C5" s="6">
        <f>EVALUACION2!$C$22</f>
        <v>7</v>
      </c>
      <c r="G5" s="7"/>
    </row>
    <row r="6">
      <c r="A6" s="4">
        <v>3.0</v>
      </c>
      <c r="B6" s="8"/>
      <c r="C6" s="6">
        <f>EVALUACION2!$C$22</f>
        <v>7</v>
      </c>
      <c r="G6" s="7"/>
    </row>
    <row r="11" outlineLevel="1">
      <c r="A11" s="9" t="s">
        <v>1</v>
      </c>
      <c r="B11" s="10"/>
      <c r="C11" s="11" t="s">
        <v>4</v>
      </c>
      <c r="D11" s="12" t="s">
        <v>5</v>
      </c>
      <c r="E11" s="13"/>
      <c r="F11" s="13"/>
      <c r="G11" s="13"/>
      <c r="H11" s="13"/>
      <c r="I11" s="13"/>
      <c r="J11" s="13"/>
      <c r="K11" s="14"/>
    </row>
    <row r="12" outlineLevel="1">
      <c r="A12" s="15"/>
      <c r="B12" s="16" t="s">
        <v>6</v>
      </c>
      <c r="C12" s="17"/>
      <c r="D12" s="12" t="s">
        <v>7</v>
      </c>
      <c r="E12" s="14"/>
      <c r="F12" s="12" t="s">
        <v>8</v>
      </c>
      <c r="G12" s="14"/>
      <c r="H12" s="12" t="s">
        <v>9</v>
      </c>
      <c r="I12" s="14"/>
      <c r="J12" s="12" t="s">
        <v>10</v>
      </c>
      <c r="K12" s="14"/>
    </row>
    <row r="13" outlineLevel="1">
      <c r="A13" s="15"/>
      <c r="B13" s="18" t="str">
        <f>RUBRICA!A4</f>
        <v>1. Propone ajustes al Proyecto APT considerando dificultades, facilitadores y retroalimentación. </v>
      </c>
      <c r="C13" s="19" t="s">
        <v>7</v>
      </c>
      <c r="D13" s="20" t="str">
        <f>IF($C13=CL,"X","")</f>
        <v>X</v>
      </c>
      <c r="E13" s="20">
        <f t="shared" ref="E13:E14" si="1">IF(D13="X",100*0.1,"")</f>
        <v>10</v>
      </c>
      <c r="F13" s="20" t="str">
        <f>IF($C13=L,"X","")</f>
        <v/>
      </c>
      <c r="G13" s="20" t="str">
        <f t="shared" ref="G13:G14" si="2">IF(F13="X",60*0.1,"")</f>
        <v/>
      </c>
      <c r="H13" s="20" t="str">
        <f>IF($C13=ML,"X","")</f>
        <v/>
      </c>
      <c r="I13" s="20" t="str">
        <f t="shared" ref="I13:I14" si="3">IF(H13="X",30*0.1,"")</f>
        <v/>
      </c>
      <c r="J13" s="20" t="str">
        <f>IF($C13=NL,"X","")</f>
        <v/>
      </c>
      <c r="K13" s="20" t="str">
        <f t="shared" ref="K13:K20" si="4">IF($J13="X",0,"")</f>
        <v/>
      </c>
    </row>
    <row r="14" ht="26.25" customHeight="1" outlineLevel="1">
      <c r="A14" s="15"/>
      <c r="B14" s="18" t="str">
        <f>RUBRICA!A5</f>
        <v>2. Aplica una metodología que permite el logro de los objetivos propuestos, de acuerdo a los estándares de la disciplina.</v>
      </c>
      <c r="C14" s="19" t="s">
        <v>7</v>
      </c>
      <c r="D14" s="20" t="str">
        <f>IF($C14=CL,"X","")</f>
        <v>X</v>
      </c>
      <c r="E14" s="20">
        <f t="shared" si="1"/>
        <v>10</v>
      </c>
      <c r="F14" s="20" t="str">
        <f>IF($C14=L,"X","")</f>
        <v/>
      </c>
      <c r="G14" s="20" t="str">
        <f t="shared" si="2"/>
        <v/>
      </c>
      <c r="H14" s="20" t="str">
        <f>IF($C14=ML,"X","")</f>
        <v/>
      </c>
      <c r="I14" s="20" t="str">
        <f t="shared" si="3"/>
        <v/>
      </c>
      <c r="J14" s="20" t="str">
        <f>IF($C14=NL,"X","")</f>
        <v/>
      </c>
      <c r="K14" s="20" t="str">
        <f t="shared" si="4"/>
        <v/>
      </c>
    </row>
    <row r="15" outlineLevel="1">
      <c r="A15" s="15"/>
      <c r="B15" s="18" t="str">
        <f>RUBRICA!A6</f>
        <v>3. Genera evidencias que dan cuenta del avance del Proyecto APT en relación a documentación, programación y almacenamiento de datos , de acuerdo a lo planificado por el equipo y que cumpla con estándares de desarrollo de la industria</v>
      </c>
      <c r="C15" s="19" t="s">
        <v>7</v>
      </c>
      <c r="D15" s="20" t="str">
        <f>IF($C15=CL,"X","")</f>
        <v>X</v>
      </c>
      <c r="E15" s="20">
        <f>IF(D15="X",100*0.25,"")</f>
        <v>25</v>
      </c>
      <c r="F15" s="20" t="str">
        <f>IF($C15=L,"X","")</f>
        <v/>
      </c>
      <c r="G15" s="20" t="str">
        <f>IF(F15="X",60*0.25,"")</f>
        <v/>
      </c>
      <c r="H15" s="20" t="str">
        <f>IF($C15=ML,"X","")</f>
        <v/>
      </c>
      <c r="I15" s="20" t="str">
        <f>IF(H15="X",30*0.25,"")</f>
        <v/>
      </c>
      <c r="J15" s="20" t="str">
        <f>IF($C15=NL,"X","")</f>
        <v/>
      </c>
      <c r="K15" s="20" t="str">
        <f t="shared" si="4"/>
        <v/>
      </c>
    </row>
    <row r="16" outlineLevel="1">
      <c r="A16" s="15"/>
      <c r="B16" s="18" t="str">
        <f>RUBRICA!A7</f>
        <v>4. Utiliza de manera precisa el lenguaje técnico en los entregables de acuerdo con lo requerido por la disciplina.</v>
      </c>
      <c r="C16" s="19" t="s">
        <v>7</v>
      </c>
      <c r="D16" s="20" t="str">
        <f>IF($C16=CL,"X","")</f>
        <v>X</v>
      </c>
      <c r="E16" s="20">
        <f t="shared" ref="E16:E17" si="5">IF(D16="X",100*0.05,"")</f>
        <v>5</v>
      </c>
      <c r="F16" s="20" t="str">
        <f>IF($C16=L,"X","")</f>
        <v/>
      </c>
      <c r="G16" s="20" t="str">
        <f t="shared" ref="G16:G17" si="6">IF(F16="X",60*0.05,"")</f>
        <v/>
      </c>
      <c r="H16" s="20" t="str">
        <f>IF($C16=ML,"X","")</f>
        <v/>
      </c>
      <c r="I16" s="20" t="str">
        <f t="shared" ref="I16:I17" si="7">IF(H16="X",30*0.05,"")</f>
        <v/>
      </c>
      <c r="J16" s="20" t="str">
        <f>IF($C16=NL,"X","")</f>
        <v/>
      </c>
      <c r="K16" s="20" t="str">
        <f t="shared" si="4"/>
        <v/>
      </c>
    </row>
    <row r="17" outlineLevel="1">
      <c r="A17" s="15"/>
      <c r="B17" s="18" t="str">
        <f>RUBRICA!A8</f>
        <v>5. Utiliza reglas de redacción, ortografía (literal, puntual, acentual) y las normas para citas y referencias. </v>
      </c>
      <c r="C17" s="19" t="s">
        <v>7</v>
      </c>
      <c r="D17" s="20" t="str">
        <f>IF($C17=CL,"X","")</f>
        <v>X</v>
      </c>
      <c r="E17" s="20">
        <f t="shared" si="5"/>
        <v>5</v>
      </c>
      <c r="F17" s="20" t="str">
        <f>IF($C17=L,"X","")</f>
        <v/>
      </c>
      <c r="G17" s="20" t="str">
        <f t="shared" si="6"/>
        <v/>
      </c>
      <c r="H17" s="20" t="str">
        <f>IF($C17=ML,"X","")</f>
        <v/>
      </c>
      <c r="I17" s="20" t="str">
        <f t="shared" si="7"/>
        <v/>
      </c>
      <c r="J17" s="20" t="str">
        <f>IF($C17=NL,"X","")</f>
        <v/>
      </c>
      <c r="K17" s="20" t="str">
        <f t="shared" si="4"/>
        <v/>
      </c>
    </row>
    <row r="18" outlineLevel="1">
      <c r="A18" s="15"/>
      <c r="B18" s="18" t="str">
        <f>RUBRICA!A9</f>
        <v>6. Entrega la documentación y evidencias requerida por la asignatura de acuerdo a la estrucutra y nombres solicitados, guardando todas las evidencias de avances en Git</v>
      </c>
      <c r="C18" s="19" t="s">
        <v>7</v>
      </c>
      <c r="D18" s="20" t="str">
        <f>IF($C18=CL,"X","")</f>
        <v>X</v>
      </c>
      <c r="E18" s="20">
        <f>IF(D18="X",100*0.2,"")</f>
        <v>20</v>
      </c>
      <c r="F18" s="20" t="str">
        <f>IF($C18=L,"X","")</f>
        <v/>
      </c>
      <c r="G18" s="20" t="str">
        <f>IF(F18="X",60*0.2,"")</f>
        <v/>
      </c>
      <c r="H18" s="20" t="str">
        <f>IF($C18=ML,"X","")</f>
        <v/>
      </c>
      <c r="I18" s="20" t="str">
        <f>IF(H18="X",30*0.2,"")</f>
        <v/>
      </c>
      <c r="J18" s="20" t="str">
        <f>IF($C18=NL,"X","")</f>
        <v/>
      </c>
      <c r="K18" s="20" t="str">
        <f t="shared" si="4"/>
        <v/>
      </c>
    </row>
    <row r="19" outlineLevel="1">
      <c r="A19" s="15"/>
      <c r="B19" s="18" t="str">
        <f>RUBRICA!A10</f>
        <v>7.- Generan evidencias claras dentro del repositorio  del aporte de cada uno de los integrantes del equipo que permitan identificar la equidad en el trabajo y la participación de cada estudiante.</v>
      </c>
      <c r="C19" s="19" t="s">
        <v>7</v>
      </c>
      <c r="D19" s="20" t="str">
        <f>IF($C19=CL,"X","")</f>
        <v>X</v>
      </c>
      <c r="E19" s="20">
        <f>IF(D19="X",100*0.15,"")</f>
        <v>15</v>
      </c>
      <c r="F19" s="20" t="str">
        <f>IF($C19=L,"X","")</f>
        <v/>
      </c>
      <c r="G19" s="20" t="str">
        <f>IF(F19="X",60*0.15,"")</f>
        <v/>
      </c>
      <c r="H19" s="20" t="str">
        <f>IF($C19=ML,"X","")</f>
        <v/>
      </c>
      <c r="I19" s="20" t="str">
        <f>IF(H19="X",30*0.15,"")</f>
        <v/>
      </c>
      <c r="J19" s="20" t="str">
        <f>IF($C19=NL,"X","")</f>
        <v/>
      </c>
      <c r="K19" s="20" t="str">
        <f t="shared" si="4"/>
        <v/>
      </c>
    </row>
    <row r="20" outlineLevel="1">
      <c r="A20" s="15"/>
      <c r="B20" s="18" t="str">
        <f>RUBRICA!A11</f>
        <v>8. Demuestra un trabajo en equipo en donde todos los miembros del equipo expresan con fluidez el conocimiento del tema expuesto y  participan de las actividades planificadas en el proyecto</v>
      </c>
      <c r="C20" s="19" t="s">
        <v>7</v>
      </c>
      <c r="D20" s="20" t="str">
        <f>IF($C20=CL,"X","")</f>
        <v>X</v>
      </c>
      <c r="E20" s="20">
        <f>IF(D20="X",100*0.1,"")</f>
        <v>10</v>
      </c>
      <c r="F20" s="20" t="str">
        <f>IF($C20=L,"X","")</f>
        <v/>
      </c>
      <c r="G20" s="20" t="str">
        <f>IF(F20="X",60*0.1,"")</f>
        <v/>
      </c>
      <c r="H20" s="20" t="str">
        <f>IF($C20=ML,"X","")</f>
        <v/>
      </c>
      <c r="I20" s="20" t="str">
        <f>IF(H20="X",30*0.1,"")</f>
        <v/>
      </c>
      <c r="J20" s="20" t="str">
        <f>IF($C20=NL,"X","")</f>
        <v/>
      </c>
      <c r="K20" s="20" t="str">
        <f t="shared" si="4"/>
        <v/>
      </c>
    </row>
    <row r="21" ht="15.75" customHeight="1" outlineLevel="1">
      <c r="A21" s="15"/>
      <c r="B21" s="21" t="s">
        <v>11</v>
      </c>
      <c r="C21" s="22">
        <f>E21+G21+I21+K21</f>
        <v>100</v>
      </c>
      <c r="D21" s="23"/>
      <c r="E21" s="23">
        <f>SUM(E13:E20)</f>
        <v>100</v>
      </c>
      <c r="F21" s="23"/>
      <c r="G21" s="23">
        <f>SUM(G13:G20)</f>
        <v>0</v>
      </c>
      <c r="H21" s="23"/>
      <c r="I21" s="23">
        <f>SUM(I13:I20)</f>
        <v>0</v>
      </c>
      <c r="J21" s="23"/>
      <c r="K21" s="23">
        <f>SUM(K13:K20)</f>
        <v>0</v>
      </c>
    </row>
    <row r="22" ht="15.75" customHeight="1" outlineLevel="1">
      <c r="A22" s="17"/>
      <c r="B22" s="24" t="s">
        <v>12</v>
      </c>
      <c r="C22" s="25">
        <f>VLOOKUP(C21,ESCALA_IEP!A2:B202,2,FALSE)</f>
        <v>7</v>
      </c>
    </row>
    <row r="23" ht="15.75" customHeight="1">
      <c r="D23" s="26" t="s">
        <v>13</v>
      </c>
    </row>
    <row r="24" ht="48.0" customHeight="1">
      <c r="B24" s="27"/>
    </row>
    <row r="25" ht="15.75" customHeight="1">
      <c r="B25" s="28"/>
      <c r="C25" s="29"/>
    </row>
    <row r="26" ht="30.75" customHeight="1">
      <c r="B26" s="3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 customWidth="1" min="7" max="26" width="10.71"/>
  </cols>
  <sheetData>
    <row r="1" ht="14.25" customHeight="1">
      <c r="A1" s="31" t="s">
        <v>14</v>
      </c>
      <c r="B1" s="32" t="s">
        <v>15</v>
      </c>
      <c r="C1" s="33"/>
      <c r="D1" s="33"/>
      <c r="E1" s="34"/>
      <c r="F1" s="31" t="s">
        <v>16</v>
      </c>
    </row>
    <row r="2" ht="14.25" customHeight="1">
      <c r="A2" s="35"/>
      <c r="B2" s="36" t="s">
        <v>17</v>
      </c>
      <c r="C2" s="36" t="s">
        <v>18</v>
      </c>
      <c r="D2" s="37" t="s">
        <v>19</v>
      </c>
      <c r="E2" s="38" t="s">
        <v>10</v>
      </c>
      <c r="F2" s="35"/>
    </row>
    <row r="3" ht="14.25" customHeight="1">
      <c r="A3" s="39"/>
      <c r="B3" s="39"/>
      <c r="C3" s="39"/>
      <c r="D3" s="40">
        <v>-0.3</v>
      </c>
      <c r="E3" s="40">
        <v>0.0</v>
      </c>
      <c r="F3" s="41"/>
    </row>
    <row r="4" ht="14.25" customHeight="1">
      <c r="A4" s="42" t="s">
        <v>20</v>
      </c>
      <c r="B4" s="42" t="s">
        <v>21</v>
      </c>
      <c r="C4" s="42" t="s">
        <v>22</v>
      </c>
      <c r="D4" s="42" t="s">
        <v>23</v>
      </c>
      <c r="E4" s="42" t="s">
        <v>24</v>
      </c>
      <c r="F4" s="43">
        <v>10.0</v>
      </c>
    </row>
    <row r="5" ht="14.25" customHeight="1">
      <c r="A5" s="42" t="s">
        <v>25</v>
      </c>
      <c r="B5" s="42" t="s">
        <v>26</v>
      </c>
      <c r="C5" s="42" t="s">
        <v>27</v>
      </c>
      <c r="D5" s="42" t="s">
        <v>28</v>
      </c>
      <c r="E5" s="42" t="s">
        <v>29</v>
      </c>
      <c r="F5" s="43">
        <v>10.0</v>
      </c>
    </row>
    <row r="6" ht="14.25" customHeight="1">
      <c r="A6" s="42" t="s">
        <v>30</v>
      </c>
      <c r="B6" s="42" t="s">
        <v>31</v>
      </c>
      <c r="C6" s="42" t="s">
        <v>32</v>
      </c>
      <c r="D6" s="42" t="s">
        <v>33</v>
      </c>
      <c r="E6" s="42" t="s">
        <v>34</v>
      </c>
      <c r="F6" s="43">
        <v>25.0</v>
      </c>
    </row>
    <row r="7" ht="14.25" customHeight="1">
      <c r="A7" s="42" t="s">
        <v>35</v>
      </c>
      <c r="B7" s="42" t="s">
        <v>36</v>
      </c>
      <c r="C7" s="42" t="s">
        <v>37</v>
      </c>
      <c r="D7" s="42" t="s">
        <v>38</v>
      </c>
      <c r="E7" s="42" t="s">
        <v>39</v>
      </c>
      <c r="F7" s="43">
        <v>5.0</v>
      </c>
    </row>
    <row r="8" ht="14.25" customHeight="1">
      <c r="A8" s="42" t="s">
        <v>40</v>
      </c>
      <c r="B8" s="42" t="s">
        <v>41</v>
      </c>
      <c r="C8" s="42" t="s">
        <v>42</v>
      </c>
      <c r="D8" s="42" t="s">
        <v>43</v>
      </c>
      <c r="E8" s="42" t="s">
        <v>44</v>
      </c>
      <c r="F8" s="44">
        <v>5.0</v>
      </c>
    </row>
    <row r="9" ht="14.25" customHeight="1">
      <c r="A9" s="42" t="s">
        <v>45</v>
      </c>
      <c r="B9" s="42" t="s">
        <v>46</v>
      </c>
      <c r="C9" s="42" t="s">
        <v>47</v>
      </c>
      <c r="D9" s="42" t="s">
        <v>48</v>
      </c>
      <c r="E9" s="42" t="s">
        <v>49</v>
      </c>
      <c r="F9" s="43">
        <v>20.0</v>
      </c>
    </row>
    <row r="10" ht="14.25" customHeight="1">
      <c r="A10" s="45" t="s">
        <v>50</v>
      </c>
      <c r="B10" s="45" t="s">
        <v>51</v>
      </c>
      <c r="C10" s="45" t="s">
        <v>52</v>
      </c>
      <c r="D10" s="45" t="s">
        <v>53</v>
      </c>
      <c r="E10" s="45" t="s">
        <v>54</v>
      </c>
      <c r="F10" s="46">
        <v>15.0</v>
      </c>
    </row>
    <row r="11" ht="81.0" customHeight="1">
      <c r="A11" s="42" t="s">
        <v>55</v>
      </c>
      <c r="B11" s="42" t="s">
        <v>56</v>
      </c>
      <c r="C11" s="42" t="s">
        <v>57</v>
      </c>
      <c r="D11" s="42" t="s">
        <v>58</v>
      </c>
      <c r="E11" s="42" t="s">
        <v>59</v>
      </c>
      <c r="F11" s="47">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11</v>
      </c>
      <c r="B1" s="26" t="s">
        <v>12</v>
      </c>
    </row>
    <row r="2">
      <c r="A2" s="26">
        <v>0.0</v>
      </c>
      <c r="B2" s="26">
        <v>1.0</v>
      </c>
    </row>
    <row r="3">
      <c r="A3" s="26">
        <v>0.5</v>
      </c>
      <c r="B3" s="26">
        <v>1.0</v>
      </c>
    </row>
    <row r="4">
      <c r="A4" s="26">
        <v>1.0</v>
      </c>
      <c r="B4" s="26">
        <v>1.1</v>
      </c>
    </row>
    <row r="5">
      <c r="A5" s="26">
        <v>1.5</v>
      </c>
      <c r="B5" s="26">
        <v>1.1</v>
      </c>
    </row>
    <row r="6">
      <c r="A6" s="26">
        <v>2.0</v>
      </c>
      <c r="B6" s="26">
        <v>1.1</v>
      </c>
    </row>
    <row r="7">
      <c r="A7" s="26">
        <v>2.5</v>
      </c>
      <c r="B7" s="26">
        <v>1.1</v>
      </c>
    </row>
    <row r="8">
      <c r="A8" s="26">
        <v>3.0</v>
      </c>
      <c r="B8" s="26">
        <v>1.2</v>
      </c>
    </row>
    <row r="9">
      <c r="A9" s="26">
        <v>3.5</v>
      </c>
      <c r="B9" s="26">
        <v>1.2</v>
      </c>
    </row>
    <row r="10">
      <c r="A10" s="26">
        <v>4.0</v>
      </c>
      <c r="B10" s="26">
        <v>1.2</v>
      </c>
    </row>
    <row r="11">
      <c r="A11" s="26">
        <v>4.5</v>
      </c>
      <c r="B11" s="26">
        <v>1.2</v>
      </c>
    </row>
    <row r="12">
      <c r="A12" s="26">
        <v>5.0</v>
      </c>
      <c r="B12" s="26">
        <v>1.3</v>
      </c>
    </row>
    <row r="13">
      <c r="A13" s="26">
        <v>5.5</v>
      </c>
      <c r="B13" s="26">
        <v>1.3</v>
      </c>
    </row>
    <row r="14">
      <c r="A14" s="26">
        <v>6.0</v>
      </c>
      <c r="B14" s="26">
        <v>1.3</v>
      </c>
    </row>
    <row r="15">
      <c r="A15" s="26">
        <v>6.5</v>
      </c>
      <c r="B15" s="26">
        <v>1.3</v>
      </c>
    </row>
    <row r="16">
      <c r="A16" s="26">
        <v>7.0</v>
      </c>
      <c r="B16" s="26">
        <v>1.4</v>
      </c>
    </row>
    <row r="17">
      <c r="A17" s="26">
        <v>7.5</v>
      </c>
      <c r="B17" s="26">
        <v>1.4</v>
      </c>
    </row>
    <row r="18">
      <c r="A18" s="26">
        <v>8.0</v>
      </c>
      <c r="B18" s="26">
        <v>1.4</v>
      </c>
    </row>
    <row r="19">
      <c r="A19" s="26">
        <v>8.5</v>
      </c>
      <c r="B19" s="26">
        <v>1.4</v>
      </c>
    </row>
    <row r="20">
      <c r="A20" s="26">
        <v>9.0</v>
      </c>
      <c r="B20" s="26">
        <v>1.5</v>
      </c>
    </row>
    <row r="21" ht="15.75" customHeight="1">
      <c r="A21" s="26">
        <v>9.5</v>
      </c>
      <c r="B21" s="26">
        <v>1.5</v>
      </c>
    </row>
    <row r="22" ht="15.75" customHeight="1">
      <c r="A22" s="26">
        <v>10.0</v>
      </c>
      <c r="B22" s="26">
        <v>1.5</v>
      </c>
    </row>
    <row r="23" ht="15.75" customHeight="1">
      <c r="A23" s="26">
        <v>10.5</v>
      </c>
      <c r="B23" s="26">
        <v>1.5</v>
      </c>
    </row>
    <row r="24" ht="15.75" customHeight="1">
      <c r="A24" s="26">
        <v>11.0</v>
      </c>
      <c r="B24" s="26">
        <v>1.6</v>
      </c>
    </row>
    <row r="25" ht="15.75" customHeight="1">
      <c r="A25" s="26">
        <v>11.5</v>
      </c>
      <c r="B25" s="26">
        <v>1.6</v>
      </c>
    </row>
    <row r="26" ht="15.75" customHeight="1">
      <c r="A26" s="26">
        <v>12.0</v>
      </c>
      <c r="B26" s="26">
        <v>1.6</v>
      </c>
    </row>
    <row r="27" ht="15.75" customHeight="1">
      <c r="A27" s="26">
        <v>12.5</v>
      </c>
      <c r="B27" s="26">
        <v>1.6</v>
      </c>
    </row>
    <row r="28" ht="15.75" customHeight="1">
      <c r="A28" s="26">
        <v>13.0</v>
      </c>
      <c r="B28" s="26">
        <v>1.7</v>
      </c>
    </row>
    <row r="29" ht="15.75" customHeight="1">
      <c r="A29" s="26">
        <v>13.5</v>
      </c>
      <c r="B29" s="26">
        <v>1.7</v>
      </c>
    </row>
    <row r="30" ht="15.75" customHeight="1">
      <c r="A30" s="26">
        <v>14.0</v>
      </c>
      <c r="B30" s="26">
        <v>1.7</v>
      </c>
    </row>
    <row r="31" ht="15.75" customHeight="1">
      <c r="A31" s="26">
        <v>14.5</v>
      </c>
      <c r="B31" s="26">
        <v>1.7</v>
      </c>
    </row>
    <row r="32" ht="15.75" customHeight="1">
      <c r="A32" s="26">
        <v>15.0</v>
      </c>
      <c r="B32" s="26">
        <v>1.8</v>
      </c>
    </row>
    <row r="33" ht="15.75" customHeight="1">
      <c r="A33" s="26">
        <v>15.5</v>
      </c>
      <c r="B33" s="26">
        <v>1.8</v>
      </c>
    </row>
    <row r="34" ht="15.75" customHeight="1">
      <c r="A34" s="26">
        <v>16.0</v>
      </c>
      <c r="B34" s="26">
        <v>1.8</v>
      </c>
    </row>
    <row r="35" ht="15.75" customHeight="1">
      <c r="A35" s="26">
        <v>16.5</v>
      </c>
      <c r="B35" s="26">
        <v>1.8</v>
      </c>
    </row>
    <row r="36" ht="15.75" customHeight="1">
      <c r="A36" s="26">
        <v>17.0</v>
      </c>
      <c r="B36" s="26">
        <v>1.9</v>
      </c>
    </row>
    <row r="37" ht="15.75" customHeight="1">
      <c r="A37" s="26">
        <v>17.5</v>
      </c>
      <c r="B37" s="26">
        <v>1.9</v>
      </c>
    </row>
    <row r="38" ht="15.75" customHeight="1">
      <c r="A38" s="26">
        <v>18.0</v>
      </c>
      <c r="B38" s="26">
        <v>1.9</v>
      </c>
    </row>
    <row r="39" ht="15.75" customHeight="1">
      <c r="A39" s="26">
        <v>18.5</v>
      </c>
      <c r="B39" s="26">
        <v>1.9</v>
      </c>
    </row>
    <row r="40" ht="15.75" customHeight="1">
      <c r="A40" s="26">
        <v>19.0</v>
      </c>
      <c r="B40" s="26">
        <v>2.0</v>
      </c>
    </row>
    <row r="41" ht="15.75" customHeight="1">
      <c r="A41" s="26">
        <v>19.5</v>
      </c>
      <c r="B41" s="26">
        <v>2.0</v>
      </c>
    </row>
    <row r="42" ht="15.75" customHeight="1">
      <c r="A42" s="26">
        <v>20.0</v>
      </c>
      <c r="B42" s="26">
        <v>2.0</v>
      </c>
    </row>
    <row r="43" ht="15.75" customHeight="1">
      <c r="A43" s="26">
        <v>20.5</v>
      </c>
      <c r="B43" s="26">
        <v>2.0</v>
      </c>
    </row>
    <row r="44" ht="15.75" customHeight="1">
      <c r="A44" s="26">
        <v>21.0</v>
      </c>
      <c r="B44" s="26">
        <v>2.1</v>
      </c>
    </row>
    <row r="45" ht="15.75" customHeight="1">
      <c r="A45" s="26">
        <v>21.5</v>
      </c>
      <c r="B45" s="26">
        <v>2.1</v>
      </c>
    </row>
    <row r="46" ht="15.75" customHeight="1">
      <c r="A46" s="26">
        <v>22.0</v>
      </c>
      <c r="B46" s="26">
        <v>2.1</v>
      </c>
    </row>
    <row r="47" ht="15.75" customHeight="1">
      <c r="A47" s="26">
        <v>22.5</v>
      </c>
      <c r="B47" s="26">
        <v>2.1</v>
      </c>
    </row>
    <row r="48" ht="15.75" customHeight="1">
      <c r="A48" s="26">
        <v>23.0</v>
      </c>
      <c r="B48" s="26">
        <v>2.2</v>
      </c>
    </row>
    <row r="49" ht="15.75" customHeight="1">
      <c r="A49" s="26">
        <v>23.5</v>
      </c>
      <c r="B49" s="26">
        <v>2.2</v>
      </c>
    </row>
    <row r="50" ht="15.75" customHeight="1">
      <c r="A50" s="26">
        <v>24.0</v>
      </c>
      <c r="B50" s="26">
        <v>2.2</v>
      </c>
    </row>
    <row r="51" ht="15.75" customHeight="1">
      <c r="A51" s="26">
        <v>24.5</v>
      </c>
      <c r="B51" s="26">
        <v>2.2</v>
      </c>
    </row>
    <row r="52" ht="15.75" customHeight="1">
      <c r="A52" s="26">
        <v>25.0</v>
      </c>
      <c r="B52" s="26">
        <v>2.3</v>
      </c>
    </row>
    <row r="53" ht="15.75" customHeight="1">
      <c r="A53" s="26">
        <v>25.5</v>
      </c>
      <c r="B53" s="26">
        <v>2.3</v>
      </c>
    </row>
    <row r="54" ht="15.75" customHeight="1">
      <c r="A54" s="26">
        <v>26.0</v>
      </c>
      <c r="B54" s="26">
        <v>2.3</v>
      </c>
    </row>
    <row r="55" ht="15.75" customHeight="1">
      <c r="A55" s="26">
        <v>26.5</v>
      </c>
      <c r="B55" s="26">
        <v>2.3</v>
      </c>
    </row>
    <row r="56" ht="15.75" customHeight="1">
      <c r="A56" s="26">
        <v>27.0</v>
      </c>
      <c r="B56" s="26">
        <v>2.4</v>
      </c>
    </row>
    <row r="57" ht="15.75" customHeight="1">
      <c r="A57" s="26">
        <v>27.5</v>
      </c>
      <c r="B57" s="26">
        <v>2.4</v>
      </c>
    </row>
    <row r="58" ht="15.75" customHeight="1">
      <c r="A58" s="26">
        <v>28.0</v>
      </c>
      <c r="B58" s="26">
        <v>2.4</v>
      </c>
    </row>
    <row r="59" ht="15.75" customHeight="1">
      <c r="A59" s="26">
        <v>28.5</v>
      </c>
      <c r="B59" s="26">
        <v>2.4</v>
      </c>
    </row>
    <row r="60" ht="15.75" customHeight="1">
      <c r="A60" s="26">
        <v>29.0</v>
      </c>
      <c r="B60" s="26">
        <v>2.5</v>
      </c>
    </row>
    <row r="61" ht="15.75" customHeight="1">
      <c r="A61" s="26">
        <v>29.5</v>
      </c>
      <c r="B61" s="26">
        <v>2.5</v>
      </c>
    </row>
    <row r="62" ht="15.75" customHeight="1">
      <c r="A62" s="26">
        <v>30.0</v>
      </c>
      <c r="B62" s="26">
        <v>2.5</v>
      </c>
    </row>
    <row r="63" ht="15.75" customHeight="1">
      <c r="A63" s="26">
        <v>30.5</v>
      </c>
      <c r="B63" s="26">
        <v>2.5</v>
      </c>
    </row>
    <row r="64" ht="15.75" customHeight="1">
      <c r="A64" s="26">
        <v>31.0</v>
      </c>
      <c r="B64" s="26">
        <v>2.6</v>
      </c>
    </row>
    <row r="65" ht="15.75" customHeight="1">
      <c r="A65" s="26">
        <v>31.5</v>
      </c>
      <c r="B65" s="26">
        <v>2.6</v>
      </c>
    </row>
    <row r="66" ht="15.75" customHeight="1">
      <c r="A66" s="26">
        <v>32.0</v>
      </c>
      <c r="B66" s="26">
        <v>2.6</v>
      </c>
    </row>
    <row r="67" ht="15.75" customHeight="1">
      <c r="A67" s="26">
        <v>32.5</v>
      </c>
      <c r="B67" s="26">
        <v>2.6</v>
      </c>
    </row>
    <row r="68" ht="15.75" customHeight="1">
      <c r="A68" s="26">
        <v>33.0</v>
      </c>
      <c r="B68" s="26">
        <v>2.7</v>
      </c>
    </row>
    <row r="69" ht="15.75" customHeight="1">
      <c r="A69" s="26">
        <v>33.5</v>
      </c>
      <c r="B69" s="26">
        <v>2.7</v>
      </c>
    </row>
    <row r="70" ht="15.75" customHeight="1">
      <c r="A70" s="26">
        <v>34.0</v>
      </c>
      <c r="B70" s="26">
        <v>2.7</v>
      </c>
    </row>
    <row r="71" ht="15.75" customHeight="1">
      <c r="A71" s="26">
        <v>34.5</v>
      </c>
      <c r="B71" s="26">
        <v>2.7</v>
      </c>
    </row>
    <row r="72" ht="15.75" customHeight="1">
      <c r="A72" s="26">
        <v>35.0</v>
      </c>
      <c r="B72" s="26">
        <v>2.8</v>
      </c>
    </row>
    <row r="73" ht="15.75" customHeight="1">
      <c r="A73" s="26">
        <v>35.5</v>
      </c>
      <c r="B73" s="26">
        <v>2.8</v>
      </c>
    </row>
    <row r="74" ht="15.75" customHeight="1">
      <c r="A74" s="26">
        <v>36.0</v>
      </c>
      <c r="B74" s="26">
        <v>2.8</v>
      </c>
    </row>
    <row r="75" ht="15.75" customHeight="1">
      <c r="A75" s="26">
        <v>36.5</v>
      </c>
      <c r="B75" s="26">
        <v>2.8</v>
      </c>
    </row>
    <row r="76" ht="15.75" customHeight="1">
      <c r="A76" s="26">
        <v>37.0</v>
      </c>
      <c r="B76" s="26">
        <v>2.9</v>
      </c>
    </row>
    <row r="77" ht="15.75" customHeight="1">
      <c r="A77" s="26">
        <v>37.5</v>
      </c>
      <c r="B77" s="26">
        <v>2.9</v>
      </c>
    </row>
    <row r="78" ht="15.75" customHeight="1">
      <c r="A78" s="26">
        <v>38.0</v>
      </c>
      <c r="B78" s="26">
        <v>2.9</v>
      </c>
    </row>
    <row r="79" ht="15.75" customHeight="1">
      <c r="A79" s="26">
        <v>38.5</v>
      </c>
      <c r="B79" s="26">
        <v>2.9</v>
      </c>
    </row>
    <row r="80" ht="15.75" customHeight="1">
      <c r="A80" s="26">
        <v>39.0</v>
      </c>
      <c r="B80" s="26">
        <v>3.0</v>
      </c>
    </row>
    <row r="81" ht="15.75" customHeight="1">
      <c r="A81" s="26">
        <v>39.5</v>
      </c>
      <c r="B81" s="26">
        <v>3.0</v>
      </c>
    </row>
    <row r="82" ht="15.75" customHeight="1">
      <c r="A82" s="26">
        <v>40.0</v>
      </c>
      <c r="B82" s="26">
        <v>3.0</v>
      </c>
    </row>
    <row r="83" ht="15.75" customHeight="1">
      <c r="A83" s="26">
        <v>40.5</v>
      </c>
      <c r="B83" s="26">
        <v>3.0</v>
      </c>
    </row>
    <row r="84" ht="15.75" customHeight="1">
      <c r="A84" s="26">
        <v>41.0</v>
      </c>
      <c r="B84" s="26">
        <v>3.1</v>
      </c>
    </row>
    <row r="85" ht="15.75" customHeight="1">
      <c r="A85" s="26">
        <v>41.5</v>
      </c>
      <c r="B85" s="26">
        <v>3.1</v>
      </c>
    </row>
    <row r="86" ht="15.75" customHeight="1">
      <c r="A86" s="26">
        <v>42.0</v>
      </c>
      <c r="B86" s="26">
        <v>3.1</v>
      </c>
    </row>
    <row r="87" ht="15.75" customHeight="1">
      <c r="A87" s="26">
        <v>42.5</v>
      </c>
      <c r="B87" s="26">
        <v>3.1</v>
      </c>
    </row>
    <row r="88" ht="15.75" customHeight="1">
      <c r="A88" s="26">
        <v>43.0</v>
      </c>
      <c r="B88" s="26">
        <v>3.2</v>
      </c>
    </row>
    <row r="89" ht="15.75" customHeight="1">
      <c r="A89" s="26">
        <v>43.5</v>
      </c>
      <c r="B89" s="26">
        <v>3.2</v>
      </c>
    </row>
    <row r="90" ht="15.75" customHeight="1">
      <c r="A90" s="26">
        <v>44.0</v>
      </c>
      <c r="B90" s="26">
        <v>3.2</v>
      </c>
    </row>
    <row r="91" ht="15.75" customHeight="1">
      <c r="A91" s="26">
        <v>44.5</v>
      </c>
      <c r="B91" s="26">
        <v>3.2</v>
      </c>
    </row>
    <row r="92" ht="15.75" customHeight="1">
      <c r="A92" s="26">
        <v>45.0</v>
      </c>
      <c r="B92" s="26">
        <v>3.3</v>
      </c>
    </row>
    <row r="93" ht="15.75" customHeight="1">
      <c r="A93" s="26">
        <v>45.5</v>
      </c>
      <c r="B93" s="26">
        <v>3.3</v>
      </c>
    </row>
    <row r="94" ht="15.75" customHeight="1">
      <c r="A94" s="26">
        <v>46.0</v>
      </c>
      <c r="B94" s="26">
        <v>3.3</v>
      </c>
    </row>
    <row r="95" ht="15.75" customHeight="1">
      <c r="A95" s="26">
        <v>46.5</v>
      </c>
      <c r="B95" s="26">
        <v>3.3</v>
      </c>
    </row>
    <row r="96" ht="15.75" customHeight="1">
      <c r="A96" s="26">
        <v>47.0</v>
      </c>
      <c r="B96" s="26">
        <v>3.4</v>
      </c>
    </row>
    <row r="97" ht="15.75" customHeight="1">
      <c r="A97" s="26">
        <v>47.5</v>
      </c>
      <c r="B97" s="26">
        <v>3.4</v>
      </c>
    </row>
    <row r="98" ht="15.75" customHeight="1">
      <c r="A98" s="26">
        <v>48.0</v>
      </c>
      <c r="B98" s="26">
        <v>3.4</v>
      </c>
    </row>
    <row r="99" ht="15.75" customHeight="1">
      <c r="A99" s="26">
        <v>48.5</v>
      </c>
      <c r="B99" s="26">
        <v>3.4</v>
      </c>
    </row>
    <row r="100" ht="15.75" customHeight="1">
      <c r="A100" s="26">
        <v>49.0</v>
      </c>
      <c r="B100" s="26">
        <v>3.5</v>
      </c>
    </row>
    <row r="101" ht="15.75" customHeight="1">
      <c r="A101" s="26">
        <v>49.5</v>
      </c>
      <c r="B101" s="26">
        <v>3.5</v>
      </c>
    </row>
    <row r="102" ht="15.75" customHeight="1">
      <c r="A102" s="26">
        <v>50.0</v>
      </c>
      <c r="B102" s="26">
        <v>3.5</v>
      </c>
    </row>
    <row r="103" ht="15.75" customHeight="1">
      <c r="A103" s="26">
        <v>50.5</v>
      </c>
      <c r="B103" s="26">
        <v>3.5</v>
      </c>
    </row>
    <row r="104" ht="15.75" customHeight="1">
      <c r="A104" s="26">
        <v>51.0</v>
      </c>
      <c r="B104" s="26">
        <v>3.6</v>
      </c>
    </row>
    <row r="105" ht="15.75" customHeight="1">
      <c r="A105" s="26">
        <v>51.5</v>
      </c>
      <c r="B105" s="26">
        <v>3.6</v>
      </c>
    </row>
    <row r="106" ht="15.75" customHeight="1">
      <c r="A106" s="26">
        <v>52.0</v>
      </c>
      <c r="B106" s="26">
        <v>3.6</v>
      </c>
    </row>
    <row r="107" ht="15.75" customHeight="1">
      <c r="A107" s="26">
        <v>52.5</v>
      </c>
      <c r="B107" s="26">
        <v>3.6</v>
      </c>
    </row>
    <row r="108" ht="15.75" customHeight="1">
      <c r="A108" s="26">
        <v>53.0</v>
      </c>
      <c r="B108" s="26">
        <v>3.7</v>
      </c>
    </row>
    <row r="109" ht="15.75" customHeight="1">
      <c r="A109" s="26">
        <v>53.5</v>
      </c>
      <c r="B109" s="26">
        <v>3.7</v>
      </c>
    </row>
    <row r="110" ht="15.75" customHeight="1">
      <c r="A110" s="26">
        <v>54.0</v>
      </c>
      <c r="B110" s="26">
        <v>3.7</v>
      </c>
    </row>
    <row r="111" ht="15.75" customHeight="1">
      <c r="A111" s="26">
        <v>54.5</v>
      </c>
      <c r="B111" s="26">
        <v>3.7</v>
      </c>
    </row>
    <row r="112" ht="15.75" customHeight="1">
      <c r="A112" s="26">
        <v>55.0</v>
      </c>
      <c r="B112" s="26">
        <v>3.8</v>
      </c>
    </row>
    <row r="113" ht="15.75" customHeight="1">
      <c r="A113" s="26">
        <v>55.5</v>
      </c>
      <c r="B113" s="26">
        <v>3.8</v>
      </c>
    </row>
    <row r="114" ht="15.75" customHeight="1">
      <c r="A114" s="26">
        <v>56.0</v>
      </c>
      <c r="B114" s="26">
        <v>3.8</v>
      </c>
    </row>
    <row r="115" ht="15.75" customHeight="1">
      <c r="A115" s="26">
        <v>56.5</v>
      </c>
      <c r="B115" s="26">
        <v>3.8</v>
      </c>
    </row>
    <row r="116" ht="15.75" customHeight="1">
      <c r="A116" s="26">
        <v>57.0</v>
      </c>
      <c r="B116" s="26">
        <v>3.9</v>
      </c>
    </row>
    <row r="117" ht="15.75" customHeight="1">
      <c r="A117" s="26">
        <v>57.5</v>
      </c>
      <c r="B117" s="26">
        <v>3.9</v>
      </c>
    </row>
    <row r="118" ht="15.75" customHeight="1">
      <c r="A118" s="26">
        <v>58.0</v>
      </c>
      <c r="B118" s="26">
        <v>3.9</v>
      </c>
    </row>
    <row r="119" ht="15.75" customHeight="1">
      <c r="A119" s="26">
        <v>58.5</v>
      </c>
      <c r="B119" s="26">
        <v>3.9</v>
      </c>
    </row>
    <row r="120" ht="15.75" customHeight="1">
      <c r="A120" s="26">
        <v>59.0</v>
      </c>
      <c r="B120" s="26">
        <v>4.0</v>
      </c>
    </row>
    <row r="121" ht="15.75" customHeight="1">
      <c r="A121" s="26">
        <v>59.5</v>
      </c>
      <c r="B121" s="26">
        <v>4.0</v>
      </c>
    </row>
    <row r="122" ht="15.75" customHeight="1">
      <c r="A122" s="26">
        <v>60.0</v>
      </c>
      <c r="B122" s="26">
        <v>4.0</v>
      </c>
    </row>
    <row r="123" ht="15.75" customHeight="1">
      <c r="A123" s="26">
        <v>60.5</v>
      </c>
      <c r="B123" s="26">
        <v>4.0</v>
      </c>
    </row>
    <row r="124" ht="15.75" customHeight="1">
      <c r="A124" s="26">
        <v>61.0</v>
      </c>
      <c r="B124" s="26">
        <v>4.1</v>
      </c>
    </row>
    <row r="125" ht="15.75" customHeight="1">
      <c r="A125" s="26">
        <v>61.5</v>
      </c>
      <c r="B125" s="26">
        <v>4.1</v>
      </c>
    </row>
    <row r="126" ht="15.75" customHeight="1">
      <c r="A126" s="26">
        <v>62.0</v>
      </c>
      <c r="B126" s="26">
        <v>4.2</v>
      </c>
    </row>
    <row r="127" ht="15.75" customHeight="1">
      <c r="A127" s="26">
        <v>62.5</v>
      </c>
      <c r="B127" s="26">
        <v>4.2</v>
      </c>
    </row>
    <row r="128" ht="15.75" customHeight="1">
      <c r="A128" s="26">
        <v>63.0</v>
      </c>
      <c r="B128" s="26">
        <v>4.2</v>
      </c>
    </row>
    <row r="129" ht="15.75" customHeight="1">
      <c r="A129" s="26">
        <v>63.5</v>
      </c>
      <c r="B129" s="26">
        <v>4.3</v>
      </c>
    </row>
    <row r="130" ht="15.75" customHeight="1">
      <c r="A130" s="26">
        <v>64.0</v>
      </c>
      <c r="B130" s="26">
        <v>4.3</v>
      </c>
    </row>
    <row r="131" ht="15.75" customHeight="1">
      <c r="A131" s="26">
        <v>64.5</v>
      </c>
      <c r="B131" s="26">
        <v>4.3</v>
      </c>
    </row>
    <row r="132" ht="15.75" customHeight="1">
      <c r="A132" s="26">
        <v>65.0</v>
      </c>
      <c r="B132" s="26">
        <v>4.4</v>
      </c>
    </row>
    <row r="133" ht="15.75" customHeight="1">
      <c r="A133" s="26">
        <v>65.5</v>
      </c>
      <c r="B133" s="26">
        <v>4.4</v>
      </c>
    </row>
    <row r="134" ht="15.75" customHeight="1">
      <c r="A134" s="26">
        <v>66.0</v>
      </c>
      <c r="B134" s="26">
        <v>4.5</v>
      </c>
    </row>
    <row r="135" ht="15.75" customHeight="1">
      <c r="A135" s="26">
        <v>66.5</v>
      </c>
      <c r="B135" s="26">
        <v>4.5</v>
      </c>
    </row>
    <row r="136" ht="15.75" customHeight="1">
      <c r="A136" s="26">
        <v>67.0</v>
      </c>
      <c r="B136" s="26">
        <v>4.5</v>
      </c>
    </row>
    <row r="137" ht="15.75" customHeight="1">
      <c r="A137" s="26">
        <v>67.5</v>
      </c>
      <c r="B137" s="26">
        <v>4.6</v>
      </c>
    </row>
    <row r="138" ht="15.75" customHeight="1">
      <c r="A138" s="26">
        <v>68.0</v>
      </c>
      <c r="B138" s="26">
        <v>4.6</v>
      </c>
    </row>
    <row r="139" ht="15.75" customHeight="1">
      <c r="A139" s="26">
        <v>68.5</v>
      </c>
      <c r="B139" s="26">
        <v>4.6</v>
      </c>
    </row>
    <row r="140" ht="15.75" customHeight="1">
      <c r="A140" s="26">
        <v>69.0</v>
      </c>
      <c r="B140" s="26">
        <v>4.7</v>
      </c>
    </row>
    <row r="141" ht="15.75" customHeight="1">
      <c r="A141" s="26">
        <v>69.5</v>
      </c>
      <c r="B141" s="26">
        <v>4.7</v>
      </c>
    </row>
    <row r="142" ht="15.75" customHeight="1">
      <c r="A142" s="26">
        <v>70.0</v>
      </c>
      <c r="B142" s="26">
        <v>4.8</v>
      </c>
    </row>
    <row r="143" ht="15.75" customHeight="1">
      <c r="A143" s="26">
        <v>70.5</v>
      </c>
      <c r="B143" s="26">
        <v>4.8</v>
      </c>
    </row>
    <row r="144" ht="15.75" customHeight="1">
      <c r="A144" s="26">
        <v>71.0</v>
      </c>
      <c r="B144" s="26">
        <v>4.8</v>
      </c>
    </row>
    <row r="145" ht="15.75" customHeight="1">
      <c r="A145" s="26">
        <v>71.5</v>
      </c>
      <c r="B145" s="26">
        <v>4.9</v>
      </c>
    </row>
    <row r="146" ht="15.75" customHeight="1">
      <c r="A146" s="26">
        <v>72.0</v>
      </c>
      <c r="B146" s="26">
        <v>4.9</v>
      </c>
    </row>
    <row r="147" ht="15.75" customHeight="1">
      <c r="A147" s="26">
        <v>72.5</v>
      </c>
      <c r="B147" s="26">
        <v>4.9</v>
      </c>
    </row>
    <row r="148" ht="15.75" customHeight="1">
      <c r="A148" s="26">
        <v>73.0</v>
      </c>
      <c r="B148" s="26">
        <v>5.0</v>
      </c>
    </row>
    <row r="149" ht="15.75" customHeight="1">
      <c r="A149" s="26">
        <v>73.5</v>
      </c>
      <c r="B149" s="26">
        <v>5.0</v>
      </c>
    </row>
    <row r="150" ht="15.75" customHeight="1">
      <c r="A150" s="26">
        <v>74.0</v>
      </c>
      <c r="B150" s="26">
        <v>5.1</v>
      </c>
    </row>
    <row r="151" ht="15.75" customHeight="1">
      <c r="A151" s="26">
        <v>74.5</v>
      </c>
      <c r="B151" s="26">
        <v>5.1</v>
      </c>
    </row>
    <row r="152" ht="15.75" customHeight="1">
      <c r="A152" s="26">
        <v>75.0</v>
      </c>
      <c r="B152" s="26">
        <v>5.1</v>
      </c>
    </row>
    <row r="153" ht="15.75" customHeight="1">
      <c r="A153" s="26">
        <v>75.5</v>
      </c>
      <c r="B153" s="26">
        <v>5.2</v>
      </c>
    </row>
    <row r="154" ht="15.75" customHeight="1">
      <c r="A154" s="26">
        <v>76.0</v>
      </c>
      <c r="B154" s="26">
        <v>5.2</v>
      </c>
    </row>
    <row r="155" ht="15.75" customHeight="1">
      <c r="A155" s="26">
        <v>76.5</v>
      </c>
      <c r="B155" s="26">
        <v>5.2</v>
      </c>
    </row>
    <row r="156" ht="15.75" customHeight="1">
      <c r="A156" s="26">
        <v>77.0</v>
      </c>
      <c r="B156" s="26">
        <v>5.3</v>
      </c>
    </row>
    <row r="157" ht="15.75" customHeight="1">
      <c r="A157" s="26">
        <v>77.5</v>
      </c>
      <c r="B157" s="26">
        <v>5.3</v>
      </c>
    </row>
    <row r="158" ht="15.75" customHeight="1">
      <c r="A158" s="26">
        <v>78.0</v>
      </c>
      <c r="B158" s="26">
        <v>5.4</v>
      </c>
    </row>
    <row r="159" ht="15.75" customHeight="1">
      <c r="A159" s="26">
        <v>78.5</v>
      </c>
      <c r="B159" s="26">
        <v>5.4</v>
      </c>
    </row>
    <row r="160" ht="15.75" customHeight="1">
      <c r="A160" s="26">
        <v>79.0</v>
      </c>
      <c r="B160" s="26">
        <v>5.4</v>
      </c>
    </row>
    <row r="161" ht="15.75" customHeight="1">
      <c r="A161" s="26">
        <v>79.5</v>
      </c>
      <c r="B161" s="26">
        <v>5.5</v>
      </c>
    </row>
    <row r="162" ht="15.75" customHeight="1">
      <c r="A162" s="26">
        <v>80.0</v>
      </c>
      <c r="B162" s="26">
        <v>5.5</v>
      </c>
    </row>
    <row r="163" ht="15.75" customHeight="1">
      <c r="A163" s="26">
        <v>80.5</v>
      </c>
      <c r="B163" s="26">
        <v>5.5</v>
      </c>
    </row>
    <row r="164" ht="15.75" customHeight="1">
      <c r="A164" s="26">
        <v>81.0</v>
      </c>
      <c r="B164" s="26">
        <v>5.6</v>
      </c>
    </row>
    <row r="165" ht="15.75" customHeight="1">
      <c r="A165" s="26">
        <v>81.5</v>
      </c>
      <c r="B165" s="26">
        <v>5.6</v>
      </c>
    </row>
    <row r="166" ht="15.75" customHeight="1">
      <c r="A166" s="26">
        <v>82.0</v>
      </c>
      <c r="B166" s="26">
        <v>5.7</v>
      </c>
    </row>
    <row r="167" ht="15.75" customHeight="1">
      <c r="A167" s="26">
        <v>82.5</v>
      </c>
      <c r="B167" s="26">
        <v>5.7</v>
      </c>
    </row>
    <row r="168" ht="15.75" customHeight="1">
      <c r="A168" s="26">
        <v>83.0</v>
      </c>
      <c r="B168" s="26">
        <v>5.7</v>
      </c>
    </row>
    <row r="169" ht="15.75" customHeight="1">
      <c r="A169" s="26">
        <v>83.5</v>
      </c>
      <c r="B169" s="26">
        <v>5.8</v>
      </c>
    </row>
    <row r="170" ht="15.75" customHeight="1">
      <c r="A170" s="26">
        <v>84.0</v>
      </c>
      <c r="B170" s="26">
        <v>5.8</v>
      </c>
    </row>
    <row r="171" ht="15.75" customHeight="1">
      <c r="A171" s="26">
        <v>84.5</v>
      </c>
      <c r="B171" s="26">
        <v>5.8</v>
      </c>
    </row>
    <row r="172" ht="15.75" customHeight="1">
      <c r="A172" s="26">
        <v>85.0</v>
      </c>
      <c r="B172" s="26">
        <v>5.9</v>
      </c>
    </row>
    <row r="173" ht="15.75" customHeight="1">
      <c r="A173" s="26">
        <v>85.5</v>
      </c>
      <c r="B173" s="26">
        <v>5.9</v>
      </c>
    </row>
    <row r="174" ht="15.75" customHeight="1">
      <c r="A174" s="26">
        <v>86.0</v>
      </c>
      <c r="B174" s="26">
        <v>6.0</v>
      </c>
    </row>
    <row r="175" ht="15.75" customHeight="1">
      <c r="A175" s="26">
        <v>86.5</v>
      </c>
      <c r="B175" s="26">
        <v>6.0</v>
      </c>
    </row>
    <row r="176" ht="15.75" customHeight="1">
      <c r="A176" s="26">
        <v>87.0</v>
      </c>
      <c r="B176" s="26">
        <v>6.0</v>
      </c>
    </row>
    <row r="177" ht="15.75" customHeight="1">
      <c r="A177" s="26">
        <v>87.5</v>
      </c>
      <c r="B177" s="26">
        <v>6.1</v>
      </c>
    </row>
    <row r="178" ht="15.75" customHeight="1">
      <c r="A178" s="26">
        <v>88.0</v>
      </c>
      <c r="B178" s="26">
        <v>6.1</v>
      </c>
    </row>
    <row r="179" ht="15.75" customHeight="1">
      <c r="A179" s="26">
        <v>88.5</v>
      </c>
      <c r="B179" s="26">
        <v>6.1</v>
      </c>
    </row>
    <row r="180" ht="15.75" customHeight="1">
      <c r="A180" s="26">
        <v>89.0</v>
      </c>
      <c r="B180" s="26">
        <v>6.2</v>
      </c>
    </row>
    <row r="181" ht="15.75" customHeight="1">
      <c r="A181" s="26">
        <v>89.5</v>
      </c>
      <c r="B181" s="26">
        <v>6.2</v>
      </c>
    </row>
    <row r="182" ht="15.75" customHeight="1">
      <c r="A182" s="26">
        <v>90.0</v>
      </c>
      <c r="B182" s="26">
        <v>6.3</v>
      </c>
    </row>
    <row r="183" ht="15.75" customHeight="1">
      <c r="A183" s="26">
        <v>90.5</v>
      </c>
      <c r="B183" s="26">
        <v>6.3</v>
      </c>
    </row>
    <row r="184" ht="15.75" customHeight="1">
      <c r="A184" s="26">
        <v>91.0</v>
      </c>
      <c r="B184" s="26">
        <v>6.3</v>
      </c>
    </row>
    <row r="185" ht="15.75" customHeight="1">
      <c r="A185" s="26">
        <v>91.5</v>
      </c>
      <c r="B185" s="26">
        <v>6.4</v>
      </c>
    </row>
    <row r="186" ht="15.75" customHeight="1">
      <c r="A186" s="26">
        <v>92.0</v>
      </c>
      <c r="B186" s="26">
        <v>6.4</v>
      </c>
    </row>
    <row r="187" ht="15.75" customHeight="1">
      <c r="A187" s="26">
        <v>92.5</v>
      </c>
      <c r="B187" s="26">
        <v>6.4</v>
      </c>
    </row>
    <row r="188" ht="15.75" customHeight="1">
      <c r="A188" s="26">
        <v>93.0</v>
      </c>
      <c r="B188" s="26">
        <v>6.5</v>
      </c>
    </row>
    <row r="189" ht="15.75" customHeight="1">
      <c r="A189" s="26">
        <v>93.5</v>
      </c>
      <c r="B189" s="26">
        <v>6.5</v>
      </c>
    </row>
    <row r="190" ht="15.75" customHeight="1">
      <c r="A190" s="26">
        <v>94.0</v>
      </c>
      <c r="B190" s="26">
        <v>6.6</v>
      </c>
    </row>
    <row r="191" ht="15.75" customHeight="1">
      <c r="A191" s="26">
        <v>94.5</v>
      </c>
      <c r="B191" s="26">
        <v>6.6</v>
      </c>
    </row>
    <row r="192" ht="15.75" customHeight="1">
      <c r="A192" s="26">
        <v>95.0</v>
      </c>
      <c r="B192" s="26">
        <v>6.6</v>
      </c>
    </row>
    <row r="193" ht="15.75" customHeight="1">
      <c r="A193" s="26">
        <v>95.5</v>
      </c>
      <c r="B193" s="26">
        <v>6.7</v>
      </c>
    </row>
    <row r="194" ht="15.75" customHeight="1">
      <c r="A194" s="26">
        <v>96.0</v>
      </c>
      <c r="B194" s="26">
        <v>6.7</v>
      </c>
    </row>
    <row r="195" ht="15.75" customHeight="1">
      <c r="A195" s="26">
        <v>96.5</v>
      </c>
      <c r="B195" s="26">
        <v>6.7</v>
      </c>
    </row>
    <row r="196" ht="15.75" customHeight="1">
      <c r="A196" s="26">
        <v>97.0</v>
      </c>
      <c r="B196" s="26">
        <v>6.8</v>
      </c>
    </row>
    <row r="197" ht="15.75" customHeight="1">
      <c r="A197" s="26">
        <v>97.5</v>
      </c>
      <c r="B197" s="26">
        <v>6.8</v>
      </c>
    </row>
    <row r="198" ht="15.75" customHeight="1">
      <c r="A198" s="26">
        <v>98.0</v>
      </c>
      <c r="B198" s="26">
        <v>6.9</v>
      </c>
    </row>
    <row r="199" ht="15.75" customHeight="1">
      <c r="A199" s="26">
        <v>98.5</v>
      </c>
      <c r="B199" s="26">
        <v>6.9</v>
      </c>
    </row>
    <row r="200" ht="15.75" customHeight="1">
      <c r="A200" s="26">
        <v>99.0</v>
      </c>
      <c r="B200" s="26">
        <v>6.9</v>
      </c>
    </row>
    <row r="201" ht="15.75" customHeight="1">
      <c r="A201" s="26">
        <v>99.5</v>
      </c>
      <c r="B201" s="26">
        <v>7.0</v>
      </c>
    </row>
    <row r="202" ht="15.75" customHeight="1">
      <c r="A202" s="26">
        <v>100.0</v>
      </c>
      <c r="B202" s="26">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60</v>
      </c>
      <c r="B1" s="26" t="s">
        <v>61</v>
      </c>
    </row>
    <row r="2">
      <c r="A2" s="26">
        <v>0.0</v>
      </c>
      <c r="B2" s="7">
        <v>1.0</v>
      </c>
    </row>
    <row r="3">
      <c r="A3" s="26">
        <v>1.0</v>
      </c>
      <c r="B3" s="7">
        <v>1.1</v>
      </c>
    </row>
    <row r="4">
      <c r="A4" s="26">
        <v>2.0</v>
      </c>
      <c r="B4" s="7">
        <v>1.2</v>
      </c>
    </row>
    <row r="5">
      <c r="A5" s="26">
        <v>3.0</v>
      </c>
      <c r="B5" s="7">
        <v>1.3</v>
      </c>
    </row>
    <row r="6">
      <c r="A6" s="26">
        <v>4.0</v>
      </c>
      <c r="B6" s="7">
        <v>1.4</v>
      </c>
    </row>
    <row r="7">
      <c r="A7" s="26">
        <v>5.0</v>
      </c>
      <c r="B7" s="7">
        <v>1.5</v>
      </c>
    </row>
    <row r="8">
      <c r="A8" s="26">
        <v>6.0</v>
      </c>
      <c r="B8" s="7">
        <v>1.6</v>
      </c>
    </row>
    <row r="9">
      <c r="A9" s="26">
        <v>7.0</v>
      </c>
      <c r="B9" s="7">
        <v>1.7</v>
      </c>
    </row>
    <row r="10">
      <c r="A10" s="26">
        <v>8.0</v>
      </c>
      <c r="B10" s="7">
        <v>1.8</v>
      </c>
    </row>
    <row r="11">
      <c r="A11" s="26">
        <v>9.0</v>
      </c>
      <c r="B11" s="7">
        <v>1.9</v>
      </c>
    </row>
    <row r="12">
      <c r="A12" s="26">
        <v>10.0</v>
      </c>
      <c r="B12" s="7">
        <v>2.0</v>
      </c>
    </row>
    <row r="13">
      <c r="A13" s="26">
        <v>11.0</v>
      </c>
      <c r="B13" s="7">
        <v>2.1</v>
      </c>
    </row>
    <row r="14">
      <c r="A14" s="26">
        <v>12.0</v>
      </c>
      <c r="B14" s="7">
        <v>2.2</v>
      </c>
    </row>
    <row r="15">
      <c r="A15" s="26">
        <v>13.0</v>
      </c>
      <c r="B15" s="7">
        <v>2.3</v>
      </c>
    </row>
    <row r="16">
      <c r="A16" s="26">
        <v>14.0</v>
      </c>
      <c r="B16" s="7">
        <v>2.3</v>
      </c>
    </row>
    <row r="17">
      <c r="A17" s="26">
        <v>15.0</v>
      </c>
      <c r="B17" s="7">
        <v>2.4</v>
      </c>
    </row>
    <row r="18">
      <c r="A18" s="26">
        <v>16.0</v>
      </c>
      <c r="B18" s="7">
        <v>2.5</v>
      </c>
    </row>
    <row r="19">
      <c r="A19" s="26">
        <v>17.0</v>
      </c>
      <c r="B19" s="7">
        <v>2.6</v>
      </c>
    </row>
    <row r="20">
      <c r="A20" s="26">
        <v>18.0</v>
      </c>
      <c r="B20" s="7">
        <v>2.7</v>
      </c>
    </row>
    <row r="21" ht="15.75" customHeight="1">
      <c r="A21" s="26">
        <v>19.0</v>
      </c>
      <c r="B21" s="7">
        <v>2.8</v>
      </c>
    </row>
    <row r="22" ht="15.75" customHeight="1">
      <c r="A22" s="26">
        <v>20.0</v>
      </c>
      <c r="B22" s="7">
        <v>2.9</v>
      </c>
    </row>
    <row r="23" ht="15.75" customHeight="1">
      <c r="A23" s="26">
        <v>21.0</v>
      </c>
      <c r="B23" s="7">
        <v>3.0</v>
      </c>
    </row>
    <row r="24" ht="15.75" customHeight="1">
      <c r="A24" s="26">
        <v>22.0</v>
      </c>
      <c r="B24" s="7">
        <v>3.1</v>
      </c>
    </row>
    <row r="25" ht="15.75" customHeight="1">
      <c r="A25" s="26">
        <v>23.0</v>
      </c>
      <c r="B25" s="7">
        <v>3.2</v>
      </c>
    </row>
    <row r="26" ht="15.75" customHeight="1">
      <c r="A26" s="26">
        <v>24.0</v>
      </c>
      <c r="B26" s="7">
        <v>3.3</v>
      </c>
    </row>
    <row r="27" ht="15.75" customHeight="1">
      <c r="A27" s="26">
        <v>25.0</v>
      </c>
      <c r="B27" s="7">
        <v>3.4</v>
      </c>
    </row>
    <row r="28" ht="15.75" customHeight="1">
      <c r="A28" s="26">
        <v>26.0</v>
      </c>
      <c r="B28" s="7">
        <v>3.5</v>
      </c>
    </row>
    <row r="29" ht="15.75" customHeight="1">
      <c r="A29" s="26">
        <v>27.0</v>
      </c>
      <c r="B29" s="7">
        <v>3.6</v>
      </c>
    </row>
    <row r="30" ht="15.75" customHeight="1">
      <c r="A30" s="26">
        <v>28.0</v>
      </c>
      <c r="B30" s="7">
        <v>3.7</v>
      </c>
    </row>
    <row r="31" ht="15.75" customHeight="1">
      <c r="A31" s="26">
        <v>29.0</v>
      </c>
      <c r="B31" s="7">
        <v>3.8</v>
      </c>
    </row>
    <row r="32" ht="15.75" customHeight="1">
      <c r="A32" s="26">
        <v>30.0</v>
      </c>
      <c r="B32" s="7">
        <v>3.9</v>
      </c>
    </row>
    <row r="33" ht="15.75" customHeight="1">
      <c r="A33" s="26">
        <v>31.0</v>
      </c>
      <c r="B33" s="7">
        <v>4.0</v>
      </c>
    </row>
    <row r="34" ht="15.75" customHeight="1">
      <c r="A34" s="26">
        <v>32.0</v>
      </c>
      <c r="B34" s="7">
        <v>4.1</v>
      </c>
    </row>
    <row r="35" ht="15.75" customHeight="1">
      <c r="A35" s="26">
        <v>33.0</v>
      </c>
      <c r="B35" s="7">
        <v>4.3</v>
      </c>
    </row>
    <row r="36" ht="15.75" customHeight="1">
      <c r="A36" s="26">
        <v>34.0</v>
      </c>
      <c r="B36" s="7">
        <v>4.4</v>
      </c>
    </row>
    <row r="37" ht="15.75" customHeight="1">
      <c r="A37" s="26">
        <v>35.0</v>
      </c>
      <c r="B37" s="7">
        <v>4.5</v>
      </c>
    </row>
    <row r="38" ht="15.75" customHeight="1">
      <c r="A38" s="26">
        <v>36.0</v>
      </c>
      <c r="B38" s="7">
        <v>4.7</v>
      </c>
    </row>
    <row r="39" ht="15.75" customHeight="1">
      <c r="A39" s="26">
        <v>37.0</v>
      </c>
      <c r="B39" s="7">
        <v>4.8</v>
      </c>
    </row>
    <row r="40" ht="15.75" customHeight="1">
      <c r="A40" s="26">
        <v>38.0</v>
      </c>
      <c r="B40" s="7">
        <v>5.0</v>
      </c>
    </row>
    <row r="41" ht="15.75" customHeight="1">
      <c r="A41" s="26">
        <v>39.0</v>
      </c>
      <c r="B41" s="7">
        <v>5.1</v>
      </c>
    </row>
    <row r="42" ht="15.75" customHeight="1">
      <c r="A42" s="26">
        <v>40.0</v>
      </c>
      <c r="B42" s="7">
        <v>5.3</v>
      </c>
    </row>
    <row r="43" ht="15.75" customHeight="1">
      <c r="A43" s="26">
        <v>41.0</v>
      </c>
      <c r="B43" s="7">
        <v>5.4</v>
      </c>
    </row>
    <row r="44" ht="15.75" customHeight="1">
      <c r="A44" s="26">
        <v>42.0</v>
      </c>
      <c r="B44" s="7">
        <v>5.6</v>
      </c>
    </row>
    <row r="45" ht="15.75" customHeight="1">
      <c r="A45" s="26">
        <v>43.0</v>
      </c>
      <c r="B45" s="7">
        <v>5.7</v>
      </c>
    </row>
    <row r="46" ht="15.75" customHeight="1">
      <c r="A46" s="26">
        <v>44.0</v>
      </c>
      <c r="B46" s="7">
        <v>5.8</v>
      </c>
    </row>
    <row r="47" ht="15.75" customHeight="1">
      <c r="A47" s="26">
        <v>45.0</v>
      </c>
      <c r="B47" s="7">
        <v>6.0</v>
      </c>
    </row>
    <row r="48" ht="15.75" customHeight="1">
      <c r="A48" s="26">
        <v>46.0</v>
      </c>
      <c r="B48" s="7">
        <v>6.1</v>
      </c>
    </row>
    <row r="49" ht="15.75" customHeight="1">
      <c r="A49" s="26">
        <v>47.0</v>
      </c>
      <c r="B49" s="7">
        <v>6.3</v>
      </c>
    </row>
    <row r="50" ht="15.75" customHeight="1">
      <c r="A50" s="26">
        <v>48.0</v>
      </c>
      <c r="B50" s="7">
        <v>6.4</v>
      </c>
    </row>
    <row r="51" ht="15.75" customHeight="1">
      <c r="A51" s="26">
        <v>49.0</v>
      </c>
      <c r="B51" s="7">
        <v>6.6</v>
      </c>
    </row>
    <row r="52" ht="15.75" customHeight="1">
      <c r="A52" s="26">
        <v>50.0</v>
      </c>
      <c r="B52" s="7">
        <v>6.7</v>
      </c>
    </row>
    <row r="53" ht="15.75" customHeight="1">
      <c r="A53" s="26">
        <v>51.0</v>
      </c>
      <c r="B53" s="7">
        <v>6.9</v>
      </c>
    </row>
    <row r="54" ht="15.75" customHeight="1">
      <c r="A54" s="26">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11</v>
      </c>
      <c r="B1" s="26" t="s">
        <v>12</v>
      </c>
    </row>
    <row r="2">
      <c r="A2" s="26">
        <v>0.0</v>
      </c>
      <c r="B2" s="26">
        <v>1.0</v>
      </c>
    </row>
    <row r="3">
      <c r="A3" s="26">
        <v>0.5</v>
      </c>
      <c r="B3" s="26">
        <v>1.1</v>
      </c>
    </row>
    <row r="4">
      <c r="A4" s="26">
        <v>1.0</v>
      </c>
      <c r="B4" s="26">
        <v>1.2</v>
      </c>
    </row>
    <row r="5">
      <c r="A5" s="26">
        <v>1.5</v>
      </c>
      <c r="B5" s="26">
        <v>1.3</v>
      </c>
    </row>
    <row r="6">
      <c r="A6" s="26">
        <v>2.0</v>
      </c>
      <c r="B6" s="26">
        <v>1.4</v>
      </c>
    </row>
    <row r="7">
      <c r="A7" s="26">
        <v>2.5</v>
      </c>
      <c r="B7" s="26">
        <v>1.5</v>
      </c>
    </row>
    <row r="8">
      <c r="A8" s="26">
        <v>3.0</v>
      </c>
      <c r="B8" s="26">
        <v>1.6</v>
      </c>
    </row>
    <row r="9">
      <c r="A9" s="26">
        <v>3.5</v>
      </c>
      <c r="B9" s="26">
        <v>1.7</v>
      </c>
    </row>
    <row r="10">
      <c r="A10" s="26">
        <v>4.0</v>
      </c>
      <c r="B10" s="26">
        <v>1.8</v>
      </c>
    </row>
    <row r="11">
      <c r="A11" s="26">
        <v>4.5</v>
      </c>
      <c r="B11" s="26">
        <v>1.9</v>
      </c>
    </row>
    <row r="12">
      <c r="A12" s="26">
        <v>5.0</v>
      </c>
      <c r="B12" s="26">
        <v>2.0</v>
      </c>
    </row>
    <row r="13">
      <c r="A13" s="26">
        <v>5.5</v>
      </c>
      <c r="B13" s="26">
        <v>2.1</v>
      </c>
    </row>
    <row r="14">
      <c r="A14" s="26">
        <v>6.0</v>
      </c>
      <c r="B14" s="26">
        <v>2.2</v>
      </c>
    </row>
    <row r="15">
      <c r="A15" s="26">
        <v>6.5</v>
      </c>
      <c r="B15" s="26">
        <v>2.3</v>
      </c>
    </row>
    <row r="16">
      <c r="A16" s="26">
        <v>7.0</v>
      </c>
      <c r="B16" s="26">
        <v>2.4</v>
      </c>
    </row>
    <row r="17">
      <c r="A17" s="26">
        <v>7.5</v>
      </c>
      <c r="B17" s="26">
        <v>2.5</v>
      </c>
    </row>
    <row r="18">
      <c r="A18" s="26">
        <v>8.0</v>
      </c>
      <c r="B18" s="26">
        <v>2.6</v>
      </c>
    </row>
    <row r="19">
      <c r="A19" s="26">
        <v>8.5</v>
      </c>
      <c r="B19" s="26">
        <v>2.7</v>
      </c>
    </row>
    <row r="20">
      <c r="A20" s="26">
        <v>9.0</v>
      </c>
      <c r="B20" s="26">
        <v>2.8</v>
      </c>
    </row>
    <row r="21" ht="15.75" customHeight="1">
      <c r="A21" s="26">
        <v>9.5</v>
      </c>
      <c r="B21" s="26">
        <v>2.9</v>
      </c>
    </row>
    <row r="22" ht="15.75" customHeight="1">
      <c r="A22" s="26">
        <v>10.0</v>
      </c>
      <c r="B22" s="26">
        <v>3.0</v>
      </c>
    </row>
    <row r="23" ht="15.75" customHeight="1">
      <c r="A23" s="26">
        <v>10.5</v>
      </c>
      <c r="B23" s="26">
        <v>3.1</v>
      </c>
    </row>
    <row r="24" ht="15.75" customHeight="1">
      <c r="A24" s="26">
        <v>11.0</v>
      </c>
      <c r="B24" s="26">
        <v>3.2</v>
      </c>
    </row>
    <row r="25" ht="15.75" customHeight="1">
      <c r="A25" s="26">
        <v>11.5</v>
      </c>
      <c r="B25" s="26">
        <v>3.3</v>
      </c>
    </row>
    <row r="26" ht="15.75" customHeight="1">
      <c r="A26" s="26">
        <v>12.0</v>
      </c>
      <c r="B26" s="26">
        <v>3.4</v>
      </c>
    </row>
    <row r="27" ht="15.75" customHeight="1">
      <c r="A27" s="26">
        <v>12.5</v>
      </c>
      <c r="B27" s="26">
        <v>3.5</v>
      </c>
    </row>
    <row r="28" ht="15.75" customHeight="1">
      <c r="A28" s="26">
        <v>13.0</v>
      </c>
      <c r="B28" s="26">
        <v>3.6</v>
      </c>
    </row>
    <row r="29" ht="15.75" customHeight="1">
      <c r="A29" s="26">
        <v>13.5</v>
      </c>
      <c r="B29" s="26">
        <v>3.7</v>
      </c>
    </row>
    <row r="30" ht="15.75" customHeight="1">
      <c r="A30" s="26">
        <v>14.0</v>
      </c>
      <c r="B30" s="26">
        <v>3.8</v>
      </c>
    </row>
    <row r="31" ht="15.75" customHeight="1">
      <c r="A31" s="26">
        <v>14.5</v>
      </c>
      <c r="B31" s="26">
        <v>3.9</v>
      </c>
    </row>
    <row r="32" ht="15.75" customHeight="1">
      <c r="A32" s="26">
        <v>15.0</v>
      </c>
      <c r="B32" s="26">
        <v>4.0</v>
      </c>
    </row>
    <row r="33" ht="15.75" customHeight="1">
      <c r="A33" s="26">
        <v>15.5</v>
      </c>
      <c r="B33" s="26">
        <v>4.2</v>
      </c>
    </row>
    <row r="34" ht="15.75" customHeight="1">
      <c r="A34" s="26">
        <v>16.0</v>
      </c>
      <c r="B34" s="26">
        <v>4.3</v>
      </c>
    </row>
    <row r="35" ht="15.75" customHeight="1">
      <c r="A35" s="26">
        <v>16.5</v>
      </c>
      <c r="B35" s="26">
        <v>4.5</v>
      </c>
    </row>
    <row r="36" ht="15.75" customHeight="1">
      <c r="A36" s="26">
        <v>17.0</v>
      </c>
      <c r="B36" s="26">
        <v>4.6</v>
      </c>
    </row>
    <row r="37" ht="15.75" customHeight="1">
      <c r="A37" s="26">
        <v>17.5</v>
      </c>
      <c r="B37" s="26">
        <v>4.8</v>
      </c>
    </row>
    <row r="38" ht="15.75" customHeight="1">
      <c r="A38" s="26">
        <v>18.0</v>
      </c>
      <c r="B38" s="26">
        <v>4.9</v>
      </c>
    </row>
    <row r="39" ht="15.75" customHeight="1">
      <c r="A39" s="26">
        <v>18.5</v>
      </c>
      <c r="B39" s="26">
        <v>5.1</v>
      </c>
    </row>
    <row r="40" ht="15.75" customHeight="1">
      <c r="A40" s="26">
        <v>19.0</v>
      </c>
      <c r="B40" s="26">
        <v>5.2</v>
      </c>
    </row>
    <row r="41" ht="15.75" customHeight="1">
      <c r="A41" s="26">
        <v>19.5</v>
      </c>
      <c r="B41" s="26">
        <v>5.4</v>
      </c>
    </row>
    <row r="42" ht="15.75" customHeight="1">
      <c r="A42" s="26">
        <v>20.0</v>
      </c>
      <c r="B42" s="26">
        <v>5.5</v>
      </c>
    </row>
    <row r="43" ht="15.75" customHeight="1">
      <c r="A43" s="26">
        <v>20.5</v>
      </c>
      <c r="B43" s="26">
        <v>5.7</v>
      </c>
    </row>
    <row r="44" ht="15.75" customHeight="1">
      <c r="A44" s="26">
        <v>21.0</v>
      </c>
      <c r="B44" s="26">
        <v>5.8</v>
      </c>
    </row>
    <row r="45" ht="15.75" customHeight="1">
      <c r="A45" s="26">
        <v>21.5</v>
      </c>
      <c r="B45" s="26">
        <v>6.0</v>
      </c>
    </row>
    <row r="46" ht="15.75" customHeight="1">
      <c r="A46" s="26">
        <v>22.0</v>
      </c>
      <c r="B46" s="26">
        <v>6.1</v>
      </c>
    </row>
    <row r="47" ht="15.75" customHeight="1">
      <c r="A47" s="26">
        <v>22.5</v>
      </c>
      <c r="B47" s="26">
        <v>6.3</v>
      </c>
    </row>
    <row r="48" ht="15.75" customHeight="1">
      <c r="A48" s="26">
        <v>23.0</v>
      </c>
      <c r="B48" s="26">
        <v>6.4</v>
      </c>
    </row>
    <row r="49" ht="15.75" customHeight="1">
      <c r="A49" s="26">
        <v>23.5</v>
      </c>
      <c r="B49" s="26">
        <v>6.6</v>
      </c>
    </row>
    <row r="50" ht="15.75" customHeight="1">
      <c r="A50" s="26">
        <v>24.0</v>
      </c>
      <c r="B50" s="26">
        <v>6.7</v>
      </c>
    </row>
    <row r="51" ht="15.75" customHeight="1">
      <c r="A51" s="26">
        <v>24.5</v>
      </c>
      <c r="B51" s="26">
        <v>6.9</v>
      </c>
    </row>
    <row r="52" ht="15.75" customHeight="1">
      <c r="A52" s="26">
        <v>25.0</v>
      </c>
      <c r="B52" s="26">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8" t="s">
        <v>62</v>
      </c>
      <c r="B1" s="49" t="s">
        <v>11</v>
      </c>
      <c r="C1" s="50"/>
      <c r="D1" s="50"/>
      <c r="E1" s="51"/>
    </row>
    <row r="2">
      <c r="A2" s="52"/>
      <c r="B2" s="53" t="s">
        <v>7</v>
      </c>
      <c r="C2" s="54" t="s">
        <v>8</v>
      </c>
      <c r="D2" s="54" t="s">
        <v>63</v>
      </c>
      <c r="E2" s="55" t="s">
        <v>10</v>
      </c>
    </row>
    <row r="3">
      <c r="A3" s="56" t="s">
        <v>64</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